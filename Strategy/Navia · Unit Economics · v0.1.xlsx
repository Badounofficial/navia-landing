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Per User" sheetId="1" state="visible" r:id="rId3"/>
    <sheet name="Pricing Scenarios" sheetId="2" state="visible" r:id="rId4"/>
    <sheet name="Revenue Projections" sheetId="3" state="visible" r:id="rId5"/>
    <sheet name="Break-Ev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<sst xmlns="http://schemas.openxmlformats.org/spreadsheetml/2006/main" count="87" uniqueCount="86">
  <si>
    <t xml:space="preserve">Navia Unit Economics — Cost Per Active User Per Month</t>
  </si>
  <si>
    <t xml:space="preserve">Blue cells = assumptions (editable). Black cells = formulas.</t>
  </si>
  <si>
    <t xml:space="preserve">Component</t>
  </si>
  <si>
    <t xml:space="preserve">Unit cost</t>
  </si>
  <si>
    <t xml:space="preserve">Usage / month</t>
  </si>
  <si>
    <t xml:space="preserve">Cost / user / month</t>
  </si>
  <si>
    <t xml:space="preserve">Source / notes</t>
  </si>
  <si>
    <t xml:space="preserve">Claude Opus — input tokens</t>
  </si>
  <si>
    <t xml:space="preserve">Source: Anthropic pricing April 2026</t>
  </si>
  <si>
    <t xml:space="preserve">Claude Opus — output tokens</t>
  </si>
  <si>
    <t xml:space="preserve">~10 interactions, 600 output tokens each</t>
  </si>
  <si>
    <t xml:space="preserve">ElevenLabs voice synthesis</t>
  </si>
  <si>
    <t xml:space="preserve">Source: ElevenLabs Scale plan pricing</t>
  </si>
  <si>
    <t xml:space="preserve">Hume emotion detection</t>
  </si>
  <si>
    <t xml:space="preserve">Source: Hume API estimated pricing</t>
  </si>
  <si>
    <t xml:space="preserve">Whisper transcription</t>
  </si>
  <si>
    <t xml:space="preserve">Source: OpenAI Whisper API pricing</t>
  </si>
  <si>
    <t xml:space="preserve">Cloudflare Workers (edge API)</t>
  </si>
  <si>
    <t xml:space="preserve">Flat estimate at scale (bundled pricing)</t>
  </si>
  <si>
    <t xml:space="preserve">SQLCipher + infrastructure overhead</t>
  </si>
  <si>
    <t xml:space="preserve">DB hosting, backups, monitoring amortized</t>
  </si>
  <si>
    <t xml:space="preserve">Stripe payment processing (paid users only)</t>
  </si>
  <si>
    <t xml:space="preserve">See Pricing sheet</t>
  </si>
  <si>
    <t xml:space="preserve">2.9% + $0.30 per transaction</t>
  </si>
  <si>
    <t xml:space="preserve">Apple App Store commission (paid users)</t>
  </si>
  <si>
    <t xml:space="preserve">15% small business program (&lt; $1M rev)</t>
  </si>
  <si>
    <t xml:space="preserve">TOTAL AI + INFRA COST PER ACTIVE USER</t>
  </si>
  <si>
    <t xml:space="preserve">Pricing Tiers and Margin Analysis</t>
  </si>
  <si>
    <t xml:space="preserve">Blue = editable assumptions. Black = formulas.</t>
  </si>
  <si>
    <t xml:space="preserve">Free</t>
  </si>
  <si>
    <t xml:space="preserve">Companion</t>
  </si>
  <si>
    <t xml:space="preserve">Full Presence</t>
  </si>
  <si>
    <t xml:space="preserve">Monthly price</t>
  </si>
  <si>
    <t xml:space="preserve">Annual price (if offered)</t>
  </si>
  <si>
    <t xml:space="preserve">Annual = 10 months (2 free)</t>
  </si>
  <si>
    <t xml:space="preserve">AI + infra cost / user / month</t>
  </si>
  <si>
    <t xml:space="preserve">Companion +30%, Full +80% usage</t>
  </si>
  <si>
    <t xml:space="preserve">Apple commission (15%)</t>
  </si>
  <si>
    <t xml:space="preserve">Stripe fees (2.9% + $0.30)</t>
  </si>
  <si>
    <t xml:space="preserve">Total cost per user / month</t>
  </si>
  <si>
    <t xml:space="preserve">Net margin per user / month</t>
  </si>
  <si>
    <t xml:space="preserve">Gross margin %</t>
  </si>
  <si>
    <t xml:space="preserve">Revenue Projections — 24-Month Horizon</t>
  </si>
  <si>
    <t xml:space="preserve">Conservative scenario. Blue = editable growth assumptions.</t>
  </si>
  <si>
    <t xml:space="preserve">M1</t>
  </si>
  <si>
    <t xml:space="preserve">M2</t>
  </si>
  <si>
    <t xml:space="preserve">M3</t>
  </si>
  <si>
    <t xml:space="preserve">M6</t>
  </si>
  <si>
    <t xml:space="preserve">M9</t>
  </si>
  <si>
    <t xml:space="preserve">M12</t>
  </si>
  <si>
    <t xml:space="preserve">M18</t>
  </si>
  <si>
    <t xml:space="preserve">M24</t>
  </si>
  <si>
    <t xml:space="preserve">GROWTH ASSUMPTIONS</t>
  </si>
  <si>
    <t xml:space="preserve">Total registered users</t>
  </si>
  <si>
    <t xml:space="preserve">Monthly active users (MAU)</t>
  </si>
  <si>
    <t xml:space="preserve">MAU count</t>
  </si>
  <si>
    <t xml:space="preserve">CONVERSION RATES</t>
  </si>
  <si>
    <t xml:space="preserve">Free to Companion conversion</t>
  </si>
  <si>
    <t xml:space="preserve">Companion to Full Presence conversion</t>
  </si>
  <si>
    <t xml:space="preserve">USER MIX</t>
  </si>
  <si>
    <t xml:space="preserve">Companion users</t>
  </si>
  <si>
    <t xml:space="preserve">Full Presence users</t>
  </si>
  <si>
    <t xml:space="preserve">Free users</t>
  </si>
  <si>
    <t xml:space="preserve">MONTHLY REVENUE</t>
  </si>
  <si>
    <t xml:space="preserve">Companion revenue</t>
  </si>
  <si>
    <t xml:space="preserve">Full Presence revenue</t>
  </si>
  <si>
    <t xml:space="preserve">Total monthly revenue (gross)</t>
  </si>
  <si>
    <t xml:space="preserve">MONTHLY COSTS</t>
  </si>
  <si>
    <t xml:space="preserve">AI + infra (all MAU)</t>
  </si>
  <si>
    <t xml:space="preserve">Apple commission (15% on paid)</t>
  </si>
  <si>
    <t xml:space="preserve">Stripe fees</t>
  </si>
  <si>
    <t xml:space="preserve">Total variable costs</t>
  </si>
  <si>
    <t xml:space="preserve">Fixed costs / month (team, tools, hosting base)</t>
  </si>
  <si>
    <t xml:space="preserve">NET MONTHLY CONTRIBUTION</t>
  </si>
  <si>
    <t xml:space="preserve">Cumulative (running total)</t>
  </si>
  <si>
    <t xml:space="preserve">Break-Even Analysis</t>
  </si>
  <si>
    <t xml:space="preserve">How many paid users to cover costs.</t>
  </si>
  <si>
    <t xml:space="preserve">Metric</t>
  </si>
  <si>
    <t xml:space="preserve">Companion only</t>
  </si>
  <si>
    <t xml:space="preserve">Full Presence only</t>
  </si>
  <si>
    <t xml:space="preserve">Blended (70/30)</t>
  </si>
  <si>
    <t xml:space="preserve">Price / month</t>
  </si>
  <si>
    <t xml:space="preserve">Net margin / user / month</t>
  </si>
  <si>
    <t xml:space="preserve">Fixed costs / month target</t>
  </si>
  <si>
    <t xml:space="preserve">Paid users needed to break even</t>
  </si>
  <si>
    <t xml:space="preserve">At 10% conversion, total MAU needed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</si>
</sst>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#,##0;\(#,##0\);\-"/>
    <numFmt numFmtId="167" formatCode="\$#,##0.000"/>
    <numFmt numFmtId="168" formatCode="0.0%"/>
    <numFmt numFmtId="169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294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2940"/>
        <bgColor rgb="FF333300"/>
      </patternFill>
    </fill>
    <fill>
      <patternFill patternType="solid">
        <fgColor rgb="FFFFF8ED"/>
        <bgColor rgb="FFF5F5F5"/>
      </patternFill>
    </fill>
    <fill>
      <patternFill patternType="solid">
        <fgColor rgb="FFF5F5F5"/>
        <bgColor rgb="FFFFF8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E7BB8"/>
      <rgbColor rgb="FF9999FF"/>
      <rgbColor rgb="FF993366"/>
      <rgbColor rgb="FFFFF8ED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58F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E3A7A"/>
      <rgbColor rgb="FF2B29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2940"/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15</v>
      </c>
      <c r="C5" s="6" t="n">
        <v>25000</v>
      </c>
      <c r="D5" s="7" t="n">
        <f aca="false">B5/1000000*C5</f>
        <v>0.375</v>
      </c>
      <c r="E5" s="2" t="s">
        <v>8</v>
      </c>
    </row>
    <row r="6" customFormat="false" ht="15" hidden="false" customHeight="false" outlineLevel="0" collapsed="false">
      <c r="A6" s="4" t="s">
        <v>9</v>
      </c>
      <c r="B6" s="5" t="n">
        <v>75</v>
      </c>
      <c r="C6" s="6" t="n">
        <v>6000</v>
      </c>
      <c r="D6" s="7" t="n">
        <f aca="false">B6/1000000*C6</f>
        <v>0.45</v>
      </c>
      <c r="E6" s="2" t="s">
        <v>10</v>
      </c>
    </row>
    <row r="7" customFormat="false" ht="15" hidden="false" customHeight="false" outlineLevel="0" collapsed="false">
      <c r="A7" s="4" t="s">
        <v>11</v>
      </c>
      <c r="B7" s="5" t="n">
        <v>0.3</v>
      </c>
      <c r="C7" s="6" t="n">
        <v>3000</v>
      </c>
      <c r="D7" s="7" t="n">
        <f aca="false">B7/1000*C7</f>
        <v>0.9</v>
      </c>
      <c r="E7" s="2" t="s">
        <v>12</v>
      </c>
    </row>
    <row r="8" customFormat="false" ht="15" hidden="false" customHeight="false" outlineLevel="0" collapsed="false">
      <c r="A8" s="4" t="s">
        <v>13</v>
      </c>
      <c r="B8" s="8" t="n">
        <v>0.005</v>
      </c>
      <c r="C8" s="6" t="n">
        <v>10</v>
      </c>
      <c r="D8" s="7" t="n">
        <f aca="false">B8*C8</f>
        <v>0.05</v>
      </c>
      <c r="E8" s="2" t="s">
        <v>14</v>
      </c>
    </row>
    <row r="9" customFormat="false" ht="15" hidden="false" customHeight="false" outlineLevel="0" collapsed="false">
      <c r="A9" s="4" t="s">
        <v>15</v>
      </c>
      <c r="B9" s="8" t="n">
        <v>0.006</v>
      </c>
      <c r="C9" s="6" t="n">
        <v>8</v>
      </c>
      <c r="D9" s="7" t="n">
        <f aca="false">B9*C9</f>
        <v>0.048</v>
      </c>
      <c r="E9" s="2" t="s">
        <v>16</v>
      </c>
    </row>
    <row r="10" customFormat="false" ht="15" hidden="false" customHeight="false" outlineLevel="0" collapsed="false">
      <c r="A10" s="4" t="s">
        <v>17</v>
      </c>
      <c r="B10" s="5" t="n">
        <v>0.05</v>
      </c>
      <c r="C10" s="9"/>
      <c r="D10" s="7" t="n">
        <f aca="false">B10</f>
        <v>0.05</v>
      </c>
      <c r="E10" s="2" t="s">
        <v>18</v>
      </c>
    </row>
    <row r="11" customFormat="false" ht="15" hidden="false" customHeight="false" outlineLevel="0" collapsed="false">
      <c r="A11" s="4" t="s">
        <v>19</v>
      </c>
      <c r="B11" s="5" t="n">
        <v>0.12</v>
      </c>
      <c r="D11" s="7" t="n">
        <f aca="false">B11</f>
        <v>0.12</v>
      </c>
      <c r="E11" s="2" t="s">
        <v>20</v>
      </c>
    </row>
    <row r="12" customFormat="false" ht="26.85" hidden="false" customHeight="false" outlineLevel="0" collapsed="false">
      <c r="A12" s="4" t="s">
        <v>21</v>
      </c>
      <c r="B12" s="10" t="n">
        <v>0.029</v>
      </c>
      <c r="C12" s="5" t="n">
        <v>0.3</v>
      </c>
      <c r="D12" s="2" t="s">
        <v>22</v>
      </c>
      <c r="E12" s="2" t="s">
        <v>23</v>
      </c>
    </row>
    <row r="13" customFormat="false" ht="26.85" hidden="false" customHeight="false" outlineLevel="0" collapsed="false">
      <c r="A13" s="4" t="s">
        <v>24</v>
      </c>
      <c r="B13" s="10" t="n">
        <v>0.15</v>
      </c>
      <c r="D13" s="2" t="s">
        <v>22</v>
      </c>
      <c r="E13" s="2" t="s">
        <v>25</v>
      </c>
    </row>
    <row r="15" customFormat="false" ht="26.85" hidden="false" customHeight="false" outlineLevel="0" collapsed="false">
      <c r="A15" s="11" t="s">
        <v>26</v>
      </c>
      <c r="B15" s="11"/>
      <c r="C15" s="11"/>
      <c r="D15" s="12" t="n">
        <f aca="false">SUM(D5:D11)</f>
        <v>1.993</v>
      </c>
      <c r="E15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3A7A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3"/>
      <c r="B4" s="3" t="s">
        <v>29</v>
      </c>
      <c r="C4" s="3" t="s">
        <v>30</v>
      </c>
      <c r="D4" s="3" t="s">
        <v>31</v>
      </c>
    </row>
    <row r="5" customFormat="false" ht="15" hidden="false" customHeight="false" outlineLevel="0" collapsed="false">
      <c r="A5" s="4" t="s">
        <v>32</v>
      </c>
      <c r="B5" s="5" t="n">
        <v>0</v>
      </c>
      <c r="C5" s="5" t="n">
        <v>7.99</v>
      </c>
      <c r="D5" s="5" t="n">
        <v>14.99</v>
      </c>
    </row>
    <row r="6" customFormat="false" ht="15" hidden="false" customHeight="false" outlineLevel="0" collapsed="false">
      <c r="A6" s="4" t="s">
        <v>33</v>
      </c>
      <c r="B6" s="7" t="n">
        <f aca="false">B5*12</f>
        <v>0</v>
      </c>
      <c r="C6" s="7" t="n">
        <f aca="false">C5*10</f>
        <v>79.9</v>
      </c>
      <c r="D6" s="7" t="n">
        <f aca="false">D5*10</f>
        <v>149.9</v>
      </c>
      <c r="E6" s="2" t="s">
        <v>34</v>
      </c>
    </row>
    <row r="7" customFormat="false" ht="15" hidden="false" customHeight="false" outlineLevel="0" collapsed="false">
      <c r="A7" s="13" t="s">
        <v>35</v>
      </c>
      <c r="B7" s="7" t="n">
        <f aca="false">'Cost Per User'!D15</f>
        <v>1.993</v>
      </c>
      <c r="C7" s="7" t="n">
        <f aca="false">'Cost Per User'!D15*1.3</f>
        <v>2.5909</v>
      </c>
      <c r="D7" s="7" t="n">
        <f aca="false">'Cost Per User'!D15*1.8</f>
        <v>3.5874</v>
      </c>
      <c r="E7" s="2" t="s">
        <v>36</v>
      </c>
    </row>
    <row r="8" customFormat="false" ht="15" hidden="false" customHeight="false" outlineLevel="0" collapsed="false">
      <c r="A8" s="13" t="s">
        <v>37</v>
      </c>
      <c r="B8" s="7" t="n">
        <f aca="false">0</f>
        <v>0</v>
      </c>
      <c r="C8" s="7" t="n">
        <f aca="false">C5*0.15</f>
        <v>1.1985</v>
      </c>
      <c r="D8" s="7" t="n">
        <f aca="false">D5*0.15</f>
        <v>2.2485</v>
      </c>
    </row>
    <row r="9" customFormat="false" ht="15" hidden="false" customHeight="false" outlineLevel="0" collapsed="false">
      <c r="A9" s="13" t="s">
        <v>38</v>
      </c>
      <c r="B9" s="7" t="n">
        <f aca="false">0</f>
        <v>0</v>
      </c>
      <c r="C9" s="7" t="n">
        <f aca="false">C5*0.029+0.3</f>
        <v>0.53171</v>
      </c>
      <c r="D9" s="7" t="n">
        <f aca="false">D5*0.029+0.3</f>
        <v>0.73471</v>
      </c>
    </row>
    <row r="10" customFormat="false" ht="15" hidden="false" customHeight="false" outlineLevel="0" collapsed="false">
      <c r="A10" s="11" t="s">
        <v>39</v>
      </c>
      <c r="B10" s="12" t="n">
        <f aca="false">B7</f>
        <v>1.993</v>
      </c>
      <c r="C10" s="12" t="n">
        <f aca="false">C7+C8+C9</f>
        <v>4.32111</v>
      </c>
      <c r="D10" s="12" t="n">
        <f aca="false">D7+D8+D9</f>
        <v>6.57061</v>
      </c>
      <c r="E10" s="11"/>
    </row>
    <row r="11" customFormat="false" ht="15" hidden="false" customHeight="false" outlineLevel="0" collapsed="false">
      <c r="A11" s="14" t="s">
        <v>40</v>
      </c>
      <c r="B11" s="15" t="n">
        <f aca="false">B5-B10</f>
        <v>-1.993</v>
      </c>
      <c r="C11" s="15" t="n">
        <f aca="false">C5-C10</f>
        <v>3.66889</v>
      </c>
      <c r="D11" s="15" t="n">
        <f aca="false">D5-D10</f>
        <v>8.41939</v>
      </c>
      <c r="E11" s="14"/>
    </row>
    <row r="12" customFormat="false" ht="15" hidden="false" customHeight="false" outlineLevel="0" collapsed="false">
      <c r="A12" s="14" t="s">
        <v>41</v>
      </c>
      <c r="B12" s="14" t="str">
        <f aca="false">"-"</f>
        <v>-</v>
      </c>
      <c r="C12" s="16" t="n">
        <f aca="false">IF(C5&gt;0,C11/C5,0)</f>
        <v>0.459185231539424</v>
      </c>
      <c r="D12" s="16" t="n">
        <f aca="false">IF(D5&gt;0,D11/D5,0)</f>
        <v>0.561667111407605</v>
      </c>
      <c r="E12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C58F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/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</row>
    <row r="5" customFormat="false" ht="15" hidden="false" customHeight="false" outlineLevel="0" collapsed="false">
      <c r="A5" s="17" t="s">
        <v>52</v>
      </c>
      <c r="B5" s="17"/>
      <c r="C5" s="17"/>
      <c r="D5" s="17"/>
      <c r="E5" s="17"/>
      <c r="F5" s="17"/>
      <c r="G5" s="17"/>
      <c r="H5" s="17"/>
      <c r="I5" s="17"/>
    </row>
    <row r="6" customFormat="false" ht="15" hidden="false" customHeight="false" outlineLevel="0" collapsed="false">
      <c r="A6" s="13" t="s">
        <v>53</v>
      </c>
      <c r="B6" s="6" t="n">
        <v>100</v>
      </c>
      <c r="C6" s="6" t="n">
        <v>350</v>
      </c>
      <c r="D6" s="6" t="n">
        <v>800</v>
      </c>
      <c r="E6" s="6" t="n">
        <v>3000</v>
      </c>
      <c r="F6" s="6" t="n">
        <v>6000</v>
      </c>
      <c r="G6" s="6" t="n">
        <v>10000</v>
      </c>
      <c r="H6" s="6" t="n">
        <v>22000</v>
      </c>
      <c r="I6" s="6" t="n">
        <v>40000</v>
      </c>
    </row>
    <row r="7" customFormat="false" ht="15" hidden="false" customHeight="false" outlineLevel="0" collapsed="false">
      <c r="A7" s="13" t="s">
        <v>54</v>
      </c>
      <c r="B7" s="10" t="n">
        <v>0.7</v>
      </c>
      <c r="C7" s="10" t="n">
        <v>0.65</v>
      </c>
      <c r="D7" s="10" t="n">
        <v>0.6</v>
      </c>
      <c r="E7" s="10" t="n">
        <v>0.55</v>
      </c>
      <c r="F7" s="10" t="n">
        <v>0.5</v>
      </c>
      <c r="G7" s="10" t="n">
        <v>0.48</v>
      </c>
      <c r="H7" s="10" t="n">
        <v>0.45</v>
      </c>
      <c r="I7" s="10" t="n">
        <v>0.42</v>
      </c>
    </row>
    <row r="8" customFormat="false" ht="15" hidden="false" customHeight="false" outlineLevel="0" collapsed="false">
      <c r="A8" s="13" t="s">
        <v>55</v>
      </c>
      <c r="B8" s="18" t="n">
        <f aca="false">B6*B7</f>
        <v>70</v>
      </c>
      <c r="C8" s="18" t="n">
        <f aca="false">C6*C7</f>
        <v>227.5</v>
      </c>
      <c r="D8" s="18" t="n">
        <f aca="false">D6*D7</f>
        <v>480</v>
      </c>
      <c r="E8" s="18" t="n">
        <f aca="false">E6*E7</f>
        <v>1650</v>
      </c>
      <c r="F8" s="18" t="n">
        <f aca="false">F6*F7</f>
        <v>3000</v>
      </c>
      <c r="G8" s="18" t="n">
        <f aca="false">G6*G7</f>
        <v>4800</v>
      </c>
      <c r="H8" s="18" t="n">
        <f aca="false">H6*H7</f>
        <v>9900</v>
      </c>
      <c r="I8" s="18" t="n">
        <f aca="false">I6*I7</f>
        <v>16800</v>
      </c>
    </row>
    <row r="10" customFormat="false" ht="15" hidden="false" customHeight="false" outlineLevel="0" collapsed="false">
      <c r="A10" s="17" t="s">
        <v>56</v>
      </c>
      <c r="B10" s="17"/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13" t="s">
        <v>57</v>
      </c>
      <c r="B11" s="10" t="n">
        <v>0.02</v>
      </c>
      <c r="C11" s="10" t="n">
        <v>0.04</v>
      </c>
      <c r="D11" s="10" t="n">
        <v>0.06</v>
      </c>
      <c r="E11" s="10" t="n">
        <v>0.08</v>
      </c>
      <c r="F11" s="10" t="n">
        <v>0.09</v>
      </c>
      <c r="G11" s="10" t="n">
        <v>0.1</v>
      </c>
      <c r="H11" s="10" t="n">
        <v>0.11</v>
      </c>
      <c r="I11" s="10" t="n">
        <v>0.12</v>
      </c>
    </row>
    <row r="12" customFormat="false" ht="26.85" hidden="false" customHeight="false" outlineLevel="0" collapsed="false">
      <c r="A12" s="13" t="s">
        <v>58</v>
      </c>
      <c r="B12" s="10" t="n">
        <v>0.05</v>
      </c>
      <c r="C12" s="10" t="n">
        <v>0.08</v>
      </c>
      <c r="D12" s="10" t="n">
        <v>0.12</v>
      </c>
      <c r="E12" s="10" t="n">
        <v>0.15</v>
      </c>
      <c r="F12" s="10" t="n">
        <v>0.18</v>
      </c>
      <c r="G12" s="10" t="n">
        <v>0.2</v>
      </c>
      <c r="H12" s="10" t="n">
        <v>0.22</v>
      </c>
      <c r="I12" s="10" t="n">
        <v>0.25</v>
      </c>
    </row>
    <row r="14" customFormat="false" ht="15" hidden="false" customHeight="false" outlineLevel="0" collapsed="false">
      <c r="A14" s="17" t="s">
        <v>59</v>
      </c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13" t="s">
        <v>60</v>
      </c>
      <c r="B15" s="18" t="n">
        <f aca="false">ROUND(B8*B11,0)</f>
        <v>1</v>
      </c>
      <c r="C15" s="18" t="n">
        <f aca="false">ROUND(C8*C11,0)</f>
        <v>9</v>
      </c>
      <c r="D15" s="18" t="n">
        <f aca="false">ROUND(D8*D11,0)</f>
        <v>29</v>
      </c>
      <c r="E15" s="18" t="n">
        <f aca="false">ROUND(E8*E11,0)</f>
        <v>132</v>
      </c>
      <c r="F15" s="18" t="n">
        <f aca="false">ROUND(F8*F11,0)</f>
        <v>270</v>
      </c>
      <c r="G15" s="18" t="n">
        <f aca="false">ROUND(G8*G11,0)</f>
        <v>480</v>
      </c>
      <c r="H15" s="18" t="n">
        <f aca="false">ROUND(H8*H11,0)</f>
        <v>1089</v>
      </c>
      <c r="I15" s="18" t="n">
        <f aca="false">ROUND(I8*I11,0)</f>
        <v>2016</v>
      </c>
    </row>
    <row r="16" customFormat="false" ht="15" hidden="false" customHeight="false" outlineLevel="0" collapsed="false">
      <c r="A16" s="13" t="s">
        <v>61</v>
      </c>
      <c r="B16" s="18" t="n">
        <f aca="false">ROUND(B15*B12,0)</f>
        <v>0</v>
      </c>
      <c r="C16" s="18" t="n">
        <f aca="false">ROUND(C15*C12,0)</f>
        <v>1</v>
      </c>
      <c r="D16" s="18" t="n">
        <f aca="false">ROUND(D15*D12,0)</f>
        <v>3</v>
      </c>
      <c r="E16" s="18" t="n">
        <f aca="false">ROUND(E15*E12,0)</f>
        <v>20</v>
      </c>
      <c r="F16" s="18" t="n">
        <f aca="false">ROUND(F15*F12,0)</f>
        <v>49</v>
      </c>
      <c r="G16" s="18" t="n">
        <f aca="false">ROUND(G15*G12,0)</f>
        <v>96</v>
      </c>
      <c r="H16" s="18" t="n">
        <f aca="false">ROUND(H15*H12,0)</f>
        <v>240</v>
      </c>
      <c r="I16" s="18" t="n">
        <f aca="false">ROUND(I15*I12,0)</f>
        <v>504</v>
      </c>
    </row>
    <row r="17" customFormat="false" ht="15" hidden="false" customHeight="false" outlineLevel="0" collapsed="false">
      <c r="A17" s="13" t="s">
        <v>62</v>
      </c>
      <c r="B17" s="18" t="n">
        <f aca="false">B8-B15-B16</f>
        <v>69</v>
      </c>
      <c r="C17" s="18" t="n">
        <f aca="false">C8-C15-C16</f>
        <v>217.5</v>
      </c>
      <c r="D17" s="18" t="n">
        <f aca="false">D8-D15-D16</f>
        <v>448</v>
      </c>
      <c r="E17" s="18" t="n">
        <f aca="false">E8-E15-E16</f>
        <v>1498</v>
      </c>
      <c r="F17" s="18" t="n">
        <f aca="false">F8-F15-F16</f>
        <v>2681</v>
      </c>
      <c r="G17" s="18" t="n">
        <f aca="false">G8-G15-G16</f>
        <v>4224</v>
      </c>
      <c r="H17" s="18" t="n">
        <f aca="false">H8-H15-H16</f>
        <v>8571</v>
      </c>
      <c r="I17" s="18" t="n">
        <f aca="false">I8-I15-I16</f>
        <v>14280</v>
      </c>
    </row>
    <row r="19" customFormat="false" ht="15" hidden="false" customHeight="false" outlineLevel="0" collapsed="false">
      <c r="A19" s="17" t="s">
        <v>63</v>
      </c>
      <c r="B19" s="17"/>
      <c r="C19" s="17"/>
      <c r="D19" s="17"/>
      <c r="E19" s="17"/>
      <c r="F19" s="17"/>
      <c r="G19" s="17"/>
      <c r="H19" s="17"/>
      <c r="I19" s="17"/>
    </row>
    <row r="20" customFormat="false" ht="15" hidden="false" customHeight="false" outlineLevel="0" collapsed="false">
      <c r="A20" s="13" t="s">
        <v>64</v>
      </c>
      <c r="B20" s="19" t="n">
        <f aca="false">B15*'Pricing Scenarios'!C5</f>
        <v>7.99</v>
      </c>
      <c r="C20" s="19" t="n">
        <f aca="false">C15*'Pricing Scenarios'!C5</f>
        <v>71.91</v>
      </c>
      <c r="D20" s="19" t="n">
        <f aca="false">D15*'Pricing Scenarios'!C5</f>
        <v>231.71</v>
      </c>
      <c r="E20" s="19" t="n">
        <f aca="false">E15*'Pricing Scenarios'!C5</f>
        <v>1054.68</v>
      </c>
      <c r="F20" s="19" t="n">
        <f aca="false">F15*'Pricing Scenarios'!C5</f>
        <v>2157.3</v>
      </c>
      <c r="G20" s="19" t="n">
        <f aca="false">G15*'Pricing Scenarios'!C5</f>
        <v>3835.2</v>
      </c>
      <c r="H20" s="19" t="n">
        <f aca="false">H15*'Pricing Scenarios'!C5</f>
        <v>8701.11</v>
      </c>
      <c r="I20" s="19" t="n">
        <f aca="false">I15*'Pricing Scenarios'!C5</f>
        <v>16107.84</v>
      </c>
    </row>
    <row r="21" customFormat="false" ht="15" hidden="false" customHeight="false" outlineLevel="0" collapsed="false">
      <c r="A21" s="13" t="s">
        <v>65</v>
      </c>
      <c r="B21" s="19" t="n">
        <f aca="false">B16*'Pricing Scenarios'!D5</f>
        <v>0</v>
      </c>
      <c r="C21" s="19" t="n">
        <f aca="false">C16*'Pricing Scenarios'!D5</f>
        <v>14.99</v>
      </c>
      <c r="D21" s="19" t="n">
        <f aca="false">D16*'Pricing Scenarios'!D5</f>
        <v>44.97</v>
      </c>
      <c r="E21" s="19" t="n">
        <f aca="false">E16*'Pricing Scenarios'!D5</f>
        <v>299.8</v>
      </c>
      <c r="F21" s="19" t="n">
        <f aca="false">F16*'Pricing Scenarios'!D5</f>
        <v>734.51</v>
      </c>
      <c r="G21" s="19" t="n">
        <f aca="false">G16*'Pricing Scenarios'!D5</f>
        <v>1439.04</v>
      </c>
      <c r="H21" s="19" t="n">
        <f aca="false">H16*'Pricing Scenarios'!D5</f>
        <v>3597.6</v>
      </c>
      <c r="I21" s="19" t="n">
        <f aca="false">I16*'Pricing Scenarios'!D5</f>
        <v>7554.96</v>
      </c>
    </row>
    <row r="22" customFormat="false" ht="15" hidden="false" customHeight="false" outlineLevel="0" collapsed="false">
      <c r="A22" s="14" t="s">
        <v>66</v>
      </c>
      <c r="B22" s="20" t="n">
        <f aca="false">B20+B21</f>
        <v>7.99</v>
      </c>
      <c r="C22" s="20" t="n">
        <f aca="false">C20+C21</f>
        <v>86.9</v>
      </c>
      <c r="D22" s="20" t="n">
        <f aca="false">D20+D21</f>
        <v>276.68</v>
      </c>
      <c r="E22" s="20" t="n">
        <f aca="false">E20+E21</f>
        <v>1354.48</v>
      </c>
      <c r="F22" s="20" t="n">
        <f aca="false">F20+F21</f>
        <v>2891.81</v>
      </c>
      <c r="G22" s="20" t="n">
        <f aca="false">G20+G21</f>
        <v>5274.24</v>
      </c>
      <c r="H22" s="20" t="n">
        <f aca="false">H20+H21</f>
        <v>12298.71</v>
      </c>
      <c r="I22" s="20" t="n">
        <f aca="false">I20+I21</f>
        <v>23662.8</v>
      </c>
    </row>
    <row r="24" customFormat="false" ht="15" hidden="false" customHeight="false" outlineLevel="0" collapsed="false">
      <c r="A24" s="17" t="s">
        <v>67</v>
      </c>
      <c r="B24" s="17"/>
      <c r="C24" s="17"/>
      <c r="D24" s="17"/>
      <c r="E24" s="17"/>
      <c r="F24" s="17"/>
      <c r="G24" s="17"/>
      <c r="H24" s="17"/>
      <c r="I24" s="17"/>
    </row>
    <row r="25" customFormat="false" ht="15" hidden="false" customHeight="false" outlineLevel="0" collapsed="false">
      <c r="A25" s="13" t="s">
        <v>68</v>
      </c>
      <c r="B25" s="19" t="n">
        <f aca="false">B8*'Cost Per User'!D15</f>
        <v>139.51</v>
      </c>
      <c r="C25" s="19" t="n">
        <f aca="false">C8*'Cost Per User'!D15</f>
        <v>453.4075</v>
      </c>
      <c r="D25" s="19" t="n">
        <f aca="false">D8*'Cost Per User'!D15</f>
        <v>956.64</v>
      </c>
      <c r="E25" s="19" t="n">
        <f aca="false">E8*'Cost Per User'!D15</f>
        <v>3288.45</v>
      </c>
      <c r="F25" s="19" t="n">
        <f aca="false">F8*'Cost Per User'!D15</f>
        <v>5979</v>
      </c>
      <c r="G25" s="19" t="n">
        <f aca="false">G8*'Cost Per User'!D15</f>
        <v>9566.4</v>
      </c>
      <c r="H25" s="19" t="n">
        <f aca="false">H8*'Cost Per User'!D15</f>
        <v>19730.7</v>
      </c>
      <c r="I25" s="19" t="n">
        <f aca="false">I8*'Cost Per User'!D15</f>
        <v>33482.4</v>
      </c>
    </row>
    <row r="26" customFormat="false" ht="15" hidden="false" customHeight="false" outlineLevel="0" collapsed="false">
      <c r="A26" s="13" t="s">
        <v>69</v>
      </c>
      <c r="B26" s="19" t="n">
        <f aca="false">B22*0.15</f>
        <v>1.1985</v>
      </c>
      <c r="C26" s="19" t="n">
        <f aca="false">C22*0.15</f>
        <v>13.035</v>
      </c>
      <c r="D26" s="19" t="n">
        <f aca="false">D22*0.15</f>
        <v>41.502</v>
      </c>
      <c r="E26" s="19" t="n">
        <f aca="false">E22*0.15</f>
        <v>203.172</v>
      </c>
      <c r="F26" s="19" t="n">
        <f aca="false">F22*0.15</f>
        <v>433.7715</v>
      </c>
      <c r="G26" s="19" t="n">
        <f aca="false">G22*0.15</f>
        <v>791.136</v>
      </c>
      <c r="H26" s="19" t="n">
        <f aca="false">H22*0.15</f>
        <v>1844.8065</v>
      </c>
      <c r="I26" s="19" t="n">
        <f aca="false">I22*0.15</f>
        <v>3549.42</v>
      </c>
    </row>
    <row r="27" customFormat="false" ht="15" hidden="false" customHeight="false" outlineLevel="0" collapsed="false">
      <c r="A27" s="13" t="s">
        <v>70</v>
      </c>
      <c r="B27" s="19" t="n">
        <f aca="false">(B15+B16)*0.3+B22*0.029</f>
        <v>0.53171</v>
      </c>
      <c r="C27" s="19" t="n">
        <f aca="false">(C15+C16)*0.3+C22*0.029</f>
        <v>5.5201</v>
      </c>
      <c r="D27" s="19" t="n">
        <f aca="false">(D15+D16)*0.3+D22*0.029</f>
        <v>17.62372</v>
      </c>
      <c r="E27" s="19" t="n">
        <f aca="false">(E15+E16)*0.3+E22*0.029</f>
        <v>84.87992</v>
      </c>
      <c r="F27" s="19" t="n">
        <f aca="false">(F15+F16)*0.3+F22*0.029</f>
        <v>179.56249</v>
      </c>
      <c r="G27" s="19" t="n">
        <f aca="false">(G15+G16)*0.3+G22*0.029</f>
        <v>325.75296</v>
      </c>
      <c r="H27" s="19" t="n">
        <f aca="false">(H15+H16)*0.3+H22*0.029</f>
        <v>755.36259</v>
      </c>
      <c r="I27" s="19" t="n">
        <f aca="false">(I15+I16)*0.3+I22*0.029</f>
        <v>1442.2212</v>
      </c>
    </row>
    <row r="28" customFormat="false" ht="15" hidden="false" customHeight="false" outlineLevel="0" collapsed="false">
      <c r="A28" s="4" t="s">
        <v>71</v>
      </c>
      <c r="B28" s="19" t="n">
        <f aca="false">B25+B26+B27</f>
        <v>141.24021</v>
      </c>
      <c r="C28" s="19" t="n">
        <f aca="false">C25+C26+C27</f>
        <v>471.9626</v>
      </c>
      <c r="D28" s="19" t="n">
        <f aca="false">D25+D26+D27</f>
        <v>1015.76572</v>
      </c>
      <c r="E28" s="19" t="n">
        <f aca="false">E25+E26+E27</f>
        <v>3576.50192</v>
      </c>
      <c r="F28" s="19" t="n">
        <f aca="false">F25+F26+F27</f>
        <v>6592.33399</v>
      </c>
      <c r="G28" s="19" t="n">
        <f aca="false">G25+G26+G27</f>
        <v>10683.28896</v>
      </c>
      <c r="H28" s="19" t="n">
        <f aca="false">H25+H26+H27</f>
        <v>22330.86909</v>
      </c>
      <c r="I28" s="19" t="n">
        <f aca="false">I25+I26+I27</f>
        <v>38474.0412</v>
      </c>
    </row>
    <row r="30" customFormat="false" ht="26.85" hidden="false" customHeight="false" outlineLevel="0" collapsed="false">
      <c r="A30" s="13" t="s">
        <v>72</v>
      </c>
      <c r="B30" s="21" t="n">
        <v>500</v>
      </c>
      <c r="C30" s="21" t="n">
        <v>500</v>
      </c>
      <c r="D30" s="21" t="n">
        <v>500</v>
      </c>
      <c r="E30" s="21" t="n">
        <v>1200</v>
      </c>
      <c r="F30" s="21" t="n">
        <v>2000</v>
      </c>
      <c r="G30" s="21" t="n">
        <v>3500</v>
      </c>
      <c r="H30" s="21" t="n">
        <v>6000</v>
      </c>
      <c r="I30" s="21" t="n">
        <v>10000</v>
      </c>
    </row>
    <row r="32" customFormat="false" ht="15" hidden="false" customHeight="false" outlineLevel="0" collapsed="false">
      <c r="A32" s="14" t="s">
        <v>73</v>
      </c>
      <c r="B32" s="20" t="n">
        <f aca="false">B22-B28-B30</f>
        <v>-633.25021</v>
      </c>
      <c r="C32" s="20" t="n">
        <f aca="false">C22-C28-C30</f>
        <v>-885.0626</v>
      </c>
      <c r="D32" s="20" t="n">
        <f aca="false">D22-D28-D30</f>
        <v>-1239.08572</v>
      </c>
      <c r="E32" s="20" t="n">
        <f aca="false">E22-E28-E30</f>
        <v>-3422.02192</v>
      </c>
      <c r="F32" s="20" t="n">
        <f aca="false">F22-F28-F30</f>
        <v>-5700.52399</v>
      </c>
      <c r="G32" s="20" t="n">
        <f aca="false">G22-G28-G30</f>
        <v>-8909.04896</v>
      </c>
      <c r="H32" s="20" t="n">
        <f aca="false">H22-H28-H30</f>
        <v>-16032.15909</v>
      </c>
      <c r="I32" s="20" t="n">
        <f aca="false">I22-I28-I30</f>
        <v>-24811.2412</v>
      </c>
    </row>
    <row r="33" customFormat="false" ht="15" hidden="false" customHeight="false" outlineLevel="0" collapsed="false">
      <c r="A33" s="4" t="s">
        <v>74</v>
      </c>
      <c r="B33" s="19" t="n">
        <f aca="false">B32</f>
        <v>-633.25021</v>
      </c>
      <c r="C33" s="19" t="n">
        <f aca="false">B33+C32</f>
        <v>-1518.31281</v>
      </c>
      <c r="D33" s="19" t="n">
        <f aca="false">C33+D32</f>
        <v>-2757.39853</v>
      </c>
      <c r="E33" s="19" t="n">
        <f aca="false">D33+E32</f>
        <v>-6179.42045</v>
      </c>
      <c r="F33" s="19" t="n">
        <f aca="false">E33+F32</f>
        <v>-11879.94444</v>
      </c>
      <c r="G33" s="19" t="n">
        <f aca="false">F33+G32</f>
        <v>-20788.9934</v>
      </c>
      <c r="H33" s="19" t="n">
        <f aca="false">G33+H32</f>
        <v>-36821.15249</v>
      </c>
      <c r="I33" s="19" t="n">
        <f aca="false">H33+I32</f>
        <v>-61632.39369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7BB8"/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8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26.85" hidden="false" customHeight="false" outlineLevel="0" collapsed="false">
      <c r="A4" s="3" t="s">
        <v>77</v>
      </c>
      <c r="B4" s="3" t="s">
        <v>78</v>
      </c>
      <c r="C4" s="3" t="s">
        <v>79</v>
      </c>
      <c r="D4" s="3" t="s">
        <v>80</v>
      </c>
    </row>
    <row r="5" customFormat="false" ht="15" hidden="false" customHeight="false" outlineLevel="0" collapsed="false">
      <c r="A5" s="13" t="s">
        <v>81</v>
      </c>
      <c r="B5" s="7" t="n">
        <f aca="false">'Pricing Scenarios'!C5</f>
        <v>7.99</v>
      </c>
      <c r="C5" s="7" t="n">
        <f aca="false">'Pricing Scenarios'!D5</f>
        <v>14.99</v>
      </c>
      <c r="D5" s="7" t="n">
        <f aca="false">B5*0.7+C5*0.3</f>
        <v>10.09</v>
      </c>
    </row>
    <row r="6" customFormat="false" ht="15" hidden="false" customHeight="false" outlineLevel="0" collapsed="false">
      <c r="A6" s="13" t="s">
        <v>82</v>
      </c>
      <c r="B6" s="7" t="n">
        <f aca="false">'Pricing Scenarios'!C11</f>
        <v>3.66889</v>
      </c>
      <c r="C6" s="7" t="n">
        <f aca="false">'Pricing Scenarios'!D11</f>
        <v>8.41939</v>
      </c>
      <c r="D6" s="7" t="n">
        <f aca="false">B6*0.7+C6*0.3</f>
        <v>5.09404</v>
      </c>
    </row>
    <row r="7" customFormat="false" ht="15" hidden="false" customHeight="false" outlineLevel="0" collapsed="false">
      <c r="A7" s="13" t="s">
        <v>83</v>
      </c>
      <c r="B7" s="21" t="n">
        <v>3500</v>
      </c>
      <c r="C7" s="21" t="n">
        <v>3500</v>
      </c>
      <c r="D7" s="21" t="n">
        <v>3500</v>
      </c>
    </row>
    <row r="8" customFormat="false" ht="15" hidden="false" customHeight="false" outlineLevel="0" collapsed="false">
      <c r="A8" s="14" t="s">
        <v>84</v>
      </c>
      <c r="B8" s="22" t="n">
        <f aca="false">IF(B6&gt;0,CEILING(B7/B6,1),0)</f>
        <v>954</v>
      </c>
      <c r="C8" s="22" t="n">
        <f aca="false">IF(C6&gt;0,CEILING(C7/C6,1),0)</f>
        <v>416</v>
      </c>
      <c r="D8" s="22" t="n">
        <f aca="false">IF(D6&gt;0,CEILING(D7/D6,1),0)</f>
        <v>688</v>
      </c>
    </row>
    <row r="9" customFormat="false" ht="15" hidden="false" customHeight="false" outlineLevel="0" collapsed="false">
      <c r="A9" s="4" t="s">
        <v>85</v>
      </c>
      <c r="B9" s="18" t="n">
        <f aca="false">B8/0.1</f>
        <v>9540</v>
      </c>
      <c r="C9" s="18" t="n">
        <f aca="false">C8/0.1</f>
        <v>4160</v>
      </c>
      <c r="D9" s="18" t="n">
        <f aca="false">D8/0.1</f>
        <v>6880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2026-04-16T19:45:57Z</dcterms:created>
  <dc:creator>openpyxl</dc:creator>
  <dc:description/>
  <dc:language>en-US</dc:language>
  <cp:lastModifiedBy/>
  <dcterms:modified xsi:type="dcterms:W3CDTF">2026-04-16T19:45:57Z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